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rez\OneDrive\Escritorio\Viviana\obras civiles\Herramientas computacionales\Proyecto_heredado_U1\Proyecto_heredado_U1\"/>
    </mc:Choice>
  </mc:AlternateContent>
  <bookViews>
    <workbookView xWindow="0" yWindow="0" windowWidth="20490" windowHeight="763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K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3" i="1"/>
  <c r="K2" i="1"/>
</calcChain>
</file>

<file path=xl/sharedStrings.xml><?xml version="1.0" encoding="utf-8"?>
<sst xmlns="http://schemas.openxmlformats.org/spreadsheetml/2006/main" count="12" uniqueCount="11">
  <si>
    <t>Ensayo compresión</t>
  </si>
  <si>
    <t>mm</t>
  </si>
  <si>
    <t>Diametro</t>
  </si>
  <si>
    <t>altura</t>
  </si>
  <si>
    <t>area transversal</t>
  </si>
  <si>
    <t>esfuerzo maximo</t>
  </si>
  <si>
    <t>Mpa</t>
  </si>
  <si>
    <t>carga Mpa</t>
  </si>
  <si>
    <t>mm^2</t>
  </si>
  <si>
    <t>Esfuerzo Mpa</t>
  </si>
  <si>
    <t>desplazamiento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</si>
</sst>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G12" sqref="G12"/>
    </sheetView>
  </sheetViews>
  <sheetFormatPr baseColWidth="10" defaultColWidth="9.140625" defaultRowHeight="15" x14ac:dyDescent="0.25"/>
  <cols>
    <col min="2" max="2" width="12.7109375" customWidth="1"/>
    <col min="3" max="3" width="17.7109375" customWidth="1"/>
    <col min="4" max="4" width="13.140625" customWidth="1"/>
    <col min="10" max="10" width="17.42578125" customWidth="1"/>
  </cols>
  <sheetData>
    <row r="1" spans="1:12" ht="18.75" x14ac:dyDescent="0.3">
      <c r="A1" s="1" t="s">
        <v>0</v>
      </c>
    </row>
    <row r="2" spans="1:12" x14ac:dyDescent="0.25">
      <c r="A2" s="2"/>
      <c r="B2" s="2" t="s">
        <v>7</v>
      </c>
      <c r="C2" s="2" t="s">
        <v>10</v>
      </c>
      <c r="D2" s="2" t="s">
        <v>9</v>
      </c>
      <c r="E2" s="2"/>
      <c r="F2" t="s">
        <v>2</v>
      </c>
      <c r="G2">
        <v>150</v>
      </c>
      <c r="H2" t="s">
        <v>1</v>
      </c>
      <c r="J2" t="s">
        <v>4</v>
      </c>
      <c r="K2">
        <f>(PI()*(G2^2))/4</f>
        <v>17671.458676442588</v>
      </c>
      <c r="L2" t="s">
        <v>8</v>
      </c>
    </row>
    <row r="3" spans="1:12" x14ac:dyDescent="0.25">
      <c r="A3" s="2">
        <v>0</v>
      </c>
      <c r="B3" s="2">
        <v>0</v>
      </c>
      <c r="C3" s="2">
        <v>0</v>
      </c>
      <c r="D3" s="2">
        <f>(B3*1000)/$K$2</f>
        <v>0</v>
      </c>
      <c r="E3" s="2"/>
      <c r="F3" t="s">
        <v>3</v>
      </c>
      <c r="G3">
        <v>300</v>
      </c>
      <c r="H3" t="s">
        <v>1</v>
      </c>
      <c r="J3" t="s">
        <v>5</v>
      </c>
      <c r="K3">
        <f>MAX(D3:D21)</f>
        <v>25.464790894703253</v>
      </c>
      <c r="L3" t="s">
        <v>6</v>
      </c>
    </row>
    <row r="4" spans="1:12" x14ac:dyDescent="0.25">
      <c r="A4" s="2">
        <v>5</v>
      </c>
      <c r="B4" s="2">
        <v>25</v>
      </c>
      <c r="C4" s="3">
        <v>4.2000000000000003E-2</v>
      </c>
      <c r="D4" s="3">
        <f t="shared" ref="D4:D21" si="0">(B4*1000)/$K$2</f>
        <v>1.4147106052612919</v>
      </c>
      <c r="E4" s="2"/>
    </row>
    <row r="5" spans="1:12" x14ac:dyDescent="0.25">
      <c r="A5" s="2">
        <v>10</v>
      </c>
      <c r="B5" s="2">
        <v>50</v>
      </c>
      <c r="C5" s="3">
        <v>8.5000000000000006E-2</v>
      </c>
      <c r="D5" s="3">
        <f t="shared" si="0"/>
        <v>2.8294212105225838</v>
      </c>
      <c r="E5" s="2"/>
    </row>
    <row r="6" spans="1:12" x14ac:dyDescent="0.25">
      <c r="A6" s="2">
        <v>15</v>
      </c>
      <c r="B6" s="2">
        <v>75</v>
      </c>
      <c r="C6" s="3">
        <v>0.129</v>
      </c>
      <c r="D6" s="3">
        <f t="shared" si="0"/>
        <v>4.2441318157838754</v>
      </c>
      <c r="E6" s="2"/>
    </row>
    <row r="7" spans="1:12" x14ac:dyDescent="0.25">
      <c r="A7" s="2">
        <v>20</v>
      </c>
      <c r="B7" s="2">
        <v>100</v>
      </c>
      <c r="C7" s="3">
        <v>0.17399999999999999</v>
      </c>
      <c r="D7" s="3">
        <f t="shared" si="0"/>
        <v>5.6588424210451675</v>
      </c>
      <c r="E7" s="2"/>
    </row>
    <row r="8" spans="1:12" x14ac:dyDescent="0.25">
      <c r="A8" s="2">
        <v>25</v>
      </c>
      <c r="B8" s="2">
        <v>125</v>
      </c>
      <c r="C8" s="3">
        <v>0.22</v>
      </c>
      <c r="D8" s="3">
        <f t="shared" si="0"/>
        <v>7.0735530263064588</v>
      </c>
      <c r="E8" s="2"/>
    </row>
    <row r="9" spans="1:12" x14ac:dyDescent="0.25">
      <c r="A9" s="2">
        <v>30</v>
      </c>
      <c r="B9" s="2">
        <v>150</v>
      </c>
      <c r="C9" s="3">
        <v>0.26800000000000002</v>
      </c>
      <c r="D9" s="3">
        <f t="shared" si="0"/>
        <v>8.4882636315677509</v>
      </c>
      <c r="E9" s="2"/>
    </row>
    <row r="10" spans="1:12" x14ac:dyDescent="0.25">
      <c r="A10" s="2">
        <v>35</v>
      </c>
      <c r="B10" s="2">
        <v>175</v>
      </c>
      <c r="C10" s="3">
        <v>0.316</v>
      </c>
      <c r="D10" s="3">
        <f t="shared" si="0"/>
        <v>9.9029742368290421</v>
      </c>
      <c r="E10" s="2"/>
    </row>
    <row r="11" spans="1:12" x14ac:dyDescent="0.25">
      <c r="A11" s="2">
        <v>40</v>
      </c>
      <c r="B11" s="2">
        <v>200</v>
      </c>
      <c r="C11" s="3">
        <v>0.36599999999999999</v>
      </c>
      <c r="D11" s="3">
        <f t="shared" si="0"/>
        <v>11.317684842090335</v>
      </c>
      <c r="E11" s="2"/>
    </row>
    <row r="12" spans="1:12" x14ac:dyDescent="0.25">
      <c r="A12" s="2">
        <v>45</v>
      </c>
      <c r="B12" s="2">
        <v>225</v>
      </c>
      <c r="C12" s="3">
        <v>0.41699999999999998</v>
      </c>
      <c r="D12" s="3">
        <f t="shared" si="0"/>
        <v>12.732395447351626</v>
      </c>
      <c r="E12" s="2"/>
    </row>
    <row r="13" spans="1:12" x14ac:dyDescent="0.25">
      <c r="A13" s="2">
        <v>50</v>
      </c>
      <c r="B13" s="2">
        <v>250</v>
      </c>
      <c r="C13" s="3">
        <v>0.46899999999999997</v>
      </c>
      <c r="D13" s="3">
        <f t="shared" si="0"/>
        <v>14.147106052612918</v>
      </c>
      <c r="E13" s="2"/>
    </row>
    <row r="14" spans="1:12" x14ac:dyDescent="0.25">
      <c r="A14" s="2">
        <v>55</v>
      </c>
      <c r="B14" s="2">
        <v>275</v>
      </c>
      <c r="C14" s="3">
        <v>0.52200000000000002</v>
      </c>
      <c r="D14" s="3">
        <f t="shared" si="0"/>
        <v>15.561816657874211</v>
      </c>
      <c r="E14" s="2"/>
    </row>
    <row r="15" spans="1:12" x14ac:dyDescent="0.25">
      <c r="A15" s="2">
        <v>60</v>
      </c>
      <c r="B15" s="2">
        <v>300</v>
      </c>
      <c r="C15" s="3">
        <v>0.57599999999999996</v>
      </c>
      <c r="D15" s="3">
        <f t="shared" si="0"/>
        <v>16.976527263135502</v>
      </c>
      <c r="E15" s="2"/>
    </row>
    <row r="16" spans="1:12" x14ac:dyDescent="0.25">
      <c r="A16" s="2">
        <v>65</v>
      </c>
      <c r="B16" s="2">
        <v>325</v>
      </c>
      <c r="C16" s="3">
        <v>0.63100000000000001</v>
      </c>
      <c r="D16" s="3">
        <f t="shared" si="0"/>
        <v>18.391237868396793</v>
      </c>
      <c r="E16" s="2"/>
    </row>
    <row r="17" spans="1:5" x14ac:dyDescent="0.25">
      <c r="A17" s="2">
        <v>70</v>
      </c>
      <c r="B17" s="2">
        <v>350</v>
      </c>
      <c r="C17" s="3">
        <v>0.68799999999999994</v>
      </c>
      <c r="D17" s="3">
        <f t="shared" si="0"/>
        <v>19.805948473658084</v>
      </c>
      <c r="E17" s="2"/>
    </row>
    <row r="18" spans="1:5" x14ac:dyDescent="0.25">
      <c r="A18" s="2">
        <v>75</v>
      </c>
      <c r="B18" s="2">
        <v>375</v>
      </c>
      <c r="C18" s="3">
        <v>0.745</v>
      </c>
      <c r="D18" s="3">
        <f t="shared" si="0"/>
        <v>21.220659078919379</v>
      </c>
      <c r="E18" s="2"/>
    </row>
    <row r="19" spans="1:5" x14ac:dyDescent="0.25">
      <c r="A19" s="2">
        <v>80</v>
      </c>
      <c r="B19" s="2">
        <v>400</v>
      </c>
      <c r="C19" s="3">
        <v>0.80400000000000005</v>
      </c>
      <c r="D19" s="3">
        <f t="shared" si="0"/>
        <v>22.63536968418067</v>
      </c>
      <c r="E19" s="2"/>
    </row>
    <row r="20" spans="1:5" x14ac:dyDescent="0.25">
      <c r="A20" s="2">
        <v>85</v>
      </c>
      <c r="B20" s="2">
        <v>425</v>
      </c>
      <c r="C20" s="3">
        <v>0.86399999999999999</v>
      </c>
      <c r="D20" s="3">
        <f t="shared" si="0"/>
        <v>24.050080289441961</v>
      </c>
      <c r="E20" s="2"/>
    </row>
    <row r="21" spans="1:5" x14ac:dyDescent="0.25">
      <c r="A21" s="2">
        <v>90</v>
      </c>
      <c r="B21" s="2">
        <v>450</v>
      </c>
      <c r="C21" s="3">
        <v>0.92500000000000004</v>
      </c>
      <c r="D21" s="3">
        <f t="shared" si="0"/>
        <v>25.464790894703253</v>
      </c>
      <c r="E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perez</cp:lastModifiedBy>
  <dcterms:created xsi:type="dcterms:W3CDTF">2026-09-19T14:11:16Z</dcterms:created>
  <dcterms:modified xsi:type="dcterms:W3CDTF">2026-09-23T13:45:02Z</dcterms:modified>
</cp:coreProperties>
</file>